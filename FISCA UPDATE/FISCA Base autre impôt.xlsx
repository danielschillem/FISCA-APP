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C6CACC5-819A-4364-BA75-FFCE6121F53B}" xr6:coauthVersionLast="47" xr6:coauthVersionMax="47" xr10:uidLastSave="{00000000-0000-0000-0000-000000000000}"/>
  <bookViews>
    <workbookView xWindow="-108" yWindow="-108" windowWidth="23256" windowHeight="12456" activeTab="3" xr2:uid="{C7CB87EA-29B2-41F8-A184-AC0665D7BACA}"/>
  </bookViews>
  <sheets>
    <sheet name="Achats" sheetId="1" r:id="rId1"/>
    <sheet name="Prestation et service" sheetId="8" r:id="rId2"/>
    <sheet name="Loyer" sheetId="5" r:id="rId3"/>
    <sheet name="Personnel et stagiaire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5" l="1"/>
  <c r="H10" i="5"/>
  <c r="I10" i="5" s="1"/>
  <c r="L8" i="5"/>
  <c r="H8" i="5"/>
  <c r="I8" i="5" s="1"/>
  <c r="L4" i="5"/>
  <c r="L2" i="5"/>
  <c r="H6" i="5"/>
  <c r="I6" i="5" s="1"/>
  <c r="H4" i="5"/>
  <c r="I4" i="5" s="1"/>
  <c r="H2" i="5"/>
  <c r="I2" i="5" s="1"/>
  <c r="L11" i="5" l="1"/>
  <c r="L9" i="5"/>
  <c r="L6" i="5"/>
  <c r="L7" i="5"/>
  <c r="L5" i="5"/>
  <c r="M4" i="5" s="1"/>
  <c r="M10" i="5" l="1"/>
  <c r="M8" i="5"/>
  <c r="M2" i="5"/>
  <c r="M6" i="5"/>
</calcChain>
</file>

<file path=xl/sharedStrings.xml><?xml version="1.0" encoding="utf-8"?>
<sst xmlns="http://schemas.openxmlformats.org/spreadsheetml/2006/main" count="94" uniqueCount="53">
  <si>
    <t>IFU</t>
  </si>
  <si>
    <t>Nom ou Raison Sociale</t>
  </si>
  <si>
    <t>Référence</t>
  </si>
  <si>
    <t>Date</t>
  </si>
  <si>
    <t>Prix HT</t>
  </si>
  <si>
    <t>TVA</t>
  </si>
  <si>
    <t>locaux</t>
  </si>
  <si>
    <t>Prix TTC</t>
  </si>
  <si>
    <t>Immobilisations</t>
  </si>
  <si>
    <t>Importations</t>
  </si>
  <si>
    <t>Materiels</t>
  </si>
  <si>
    <t>Immatériels</t>
  </si>
  <si>
    <t>Biens locaux</t>
  </si>
  <si>
    <t>Marchandises/Matières</t>
  </si>
  <si>
    <t>Achats taxables</t>
  </si>
  <si>
    <t>Achats non taxables</t>
  </si>
  <si>
    <t xml:space="preserve"> </t>
  </si>
  <si>
    <t>Observation</t>
  </si>
  <si>
    <t>TVA à reverser de 18% (TVA pour le compte de tiers)</t>
  </si>
  <si>
    <t>Biens materiels</t>
  </si>
  <si>
    <t>Bien immatériels</t>
  </si>
  <si>
    <t>Taxables</t>
  </si>
  <si>
    <t>Non taxables</t>
  </si>
  <si>
    <t>Service/prestation/main d'œuvre</t>
  </si>
  <si>
    <t>Pas de retenue</t>
  </si>
  <si>
    <t>Retenue à la source de 20%</t>
  </si>
  <si>
    <t>Nature</t>
  </si>
  <si>
    <t>Materiel fourni</t>
  </si>
  <si>
    <t>Transport</t>
  </si>
  <si>
    <t>Retenue à la source de 10% si etabli dans la CEDEAO (art 212)</t>
  </si>
  <si>
    <r>
      <rPr>
        <b/>
        <sz val="11"/>
        <rFont val="Calibri"/>
        <family val="2"/>
        <scheme val="minor"/>
      </rPr>
      <t>Pas de retenue à la source si &lt;50 000f ;</t>
    </r>
    <r>
      <rPr>
        <b/>
        <sz val="11"/>
        <color rgb="FFFF0000"/>
        <rFont val="Calibri"/>
        <family val="2"/>
        <scheme val="minor"/>
      </rPr>
      <t xml:space="preserve"> Retenue de 5% si IFU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;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4"/>
        <rFont val="Calibri"/>
        <family val="2"/>
        <scheme val="minor"/>
      </rPr>
      <t xml:space="preserve">Retenue de 25% si pas d'IFU </t>
    </r>
    <r>
      <rPr>
        <b/>
        <sz val="11"/>
        <color theme="1"/>
        <rFont val="Calibri"/>
        <family val="2"/>
        <scheme val="minor"/>
      </rPr>
      <t xml:space="preserve">; </t>
    </r>
    <r>
      <rPr>
        <b/>
        <sz val="11"/>
        <color rgb="FF388600"/>
        <rFont val="Calibri"/>
        <family val="2"/>
        <scheme val="minor"/>
      </rPr>
      <t>Retenue de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388600"/>
        <rFont val="Calibri"/>
        <family val="2"/>
        <scheme val="minor"/>
      </rPr>
      <t>1% si travaux immobilier</t>
    </r>
    <r>
      <rPr>
        <b/>
        <sz val="11"/>
        <color theme="1"/>
        <rFont val="Calibri"/>
        <family val="2"/>
        <scheme val="minor"/>
      </rPr>
      <t xml:space="preserve"> (art 206 et 207)</t>
    </r>
  </si>
  <si>
    <t>Type</t>
  </si>
  <si>
    <t>Prestataire resident</t>
  </si>
  <si>
    <t>Prestataire non résident</t>
  </si>
  <si>
    <t>Montant</t>
  </si>
  <si>
    <t>Abattement</t>
  </si>
  <si>
    <t>Base Iimposable</t>
  </si>
  <si>
    <t>IRF</t>
  </si>
  <si>
    <t>0 à 100 000</t>
  </si>
  <si>
    <t>supérieur à 100 000</t>
  </si>
  <si>
    <t>N°</t>
  </si>
  <si>
    <t>Secteur</t>
  </si>
  <si>
    <t>Section</t>
  </si>
  <si>
    <t>Lot</t>
  </si>
  <si>
    <t>Parcelle</t>
  </si>
  <si>
    <t>Localité</t>
  </si>
  <si>
    <t>Nom et prénom ou Raison Sociale</t>
  </si>
  <si>
    <t>Statut</t>
  </si>
  <si>
    <r>
      <t xml:space="preserve">Retenue libératoire de 5% si entité publique/parapublique  ou personnes morales ne réalisant pas habituellement des activités lucratives </t>
    </r>
    <r>
      <rPr>
        <b/>
        <sz val="11"/>
        <color theme="1"/>
        <rFont val="Calibri"/>
        <family val="2"/>
        <scheme val="minor"/>
      </rPr>
      <t>(art 220 et 221)</t>
    </r>
  </si>
  <si>
    <r>
      <t xml:space="preserve">Retenue libératoire de 10% si personnes physique salarié ou vacation du corps médical </t>
    </r>
    <r>
      <rPr>
        <b/>
        <sz val="11"/>
        <color theme="1"/>
        <rFont val="Calibri"/>
        <family val="2"/>
        <scheme val="minor"/>
      </rPr>
      <t>(art 220 et 221)</t>
    </r>
  </si>
  <si>
    <r>
      <t xml:space="preserve">Retenue libératoire de 2% si vacation ou ouvriers occasionnels </t>
    </r>
    <r>
      <rPr>
        <b/>
        <sz val="11"/>
        <color theme="1"/>
        <rFont val="Calibri"/>
        <family val="2"/>
        <scheme val="minor"/>
      </rPr>
      <t>(art 220 et 221)</t>
    </r>
  </si>
  <si>
    <t>Barême (art 125 et 126)</t>
  </si>
  <si>
    <t>Ajouter la retenue obligatoire sur les salaires (égal à 1% du salaire net versé aux salariés)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</si>
</sst>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3886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D1D1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3" xfId="0" applyBorder="1"/>
    <xf numFmtId="0" fontId="0" fillId="4" borderId="5" xfId="0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2" borderId="1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3" borderId="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24" xfId="0" applyBorder="1"/>
    <xf numFmtId="0" fontId="0" fillId="0" borderId="12" xfId="0" applyBorder="1"/>
    <xf numFmtId="0" fontId="0" fillId="3" borderId="24" xfId="0" applyFill="1" applyBorder="1" applyAlignment="1">
      <alignment horizontal="center" vertical="center"/>
    </xf>
    <xf numFmtId="0" fontId="0" fillId="0" borderId="30" xfId="0" applyBorder="1"/>
    <xf numFmtId="0" fontId="0" fillId="0" borderId="15" xfId="0" applyBorder="1"/>
    <xf numFmtId="0" fontId="0" fillId="0" borderId="32" xfId="0" applyBorder="1"/>
    <xf numFmtId="0" fontId="0" fillId="0" borderId="34" xfId="0" applyBorder="1"/>
    <xf numFmtId="0" fontId="0" fillId="3" borderId="20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/>
    </xf>
    <xf numFmtId="0" fontId="0" fillId="0" borderId="35" xfId="0" applyBorder="1"/>
    <xf numFmtId="0" fontId="0" fillId="3" borderId="3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0" borderId="23" xfId="0" applyBorder="1" applyAlignment="1">
      <alignment wrapText="1"/>
    </xf>
    <xf numFmtId="0" fontId="0" fillId="3" borderId="36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9" fontId="0" fillId="5" borderId="3" xfId="0" applyNumberFormat="1" applyFill="1" applyBorder="1" applyAlignment="1">
      <alignment horizontal="center" vertical="center"/>
    </xf>
    <xf numFmtId="9" fontId="0" fillId="5" borderId="10" xfId="0" applyNumberFormat="1" applyFill="1" applyBorder="1" applyAlignment="1">
      <alignment horizontal="center" vertical="center"/>
    </xf>
    <xf numFmtId="164" fontId="0" fillId="5" borderId="23" xfId="0" applyNumberFormat="1" applyFill="1" applyBorder="1" applyAlignment="1">
      <alignment vertical="center"/>
    </xf>
    <xf numFmtId="164" fontId="0" fillId="5" borderId="22" xfId="0" applyNumberFormat="1" applyFill="1" applyBorder="1" applyAlignment="1">
      <alignment vertical="center"/>
    </xf>
    <xf numFmtId="0" fontId="0" fillId="0" borderId="38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5" borderId="3" xfId="0" applyFill="1" applyBorder="1" applyAlignment="1">
      <alignment horizontal="left" vertical="center"/>
    </xf>
    <xf numFmtId="0" fontId="0" fillId="5" borderId="17" xfId="0" applyFill="1" applyBorder="1" applyAlignment="1">
      <alignment horizontal="center" vertical="center"/>
    </xf>
    <xf numFmtId="0" fontId="0" fillId="5" borderId="10" xfId="0" applyFill="1" applyBorder="1" applyAlignment="1">
      <alignment horizontal="left" vertical="center"/>
    </xf>
    <xf numFmtId="0" fontId="0" fillId="0" borderId="40" xfId="0" applyBorder="1" applyAlignment="1">
      <alignment wrapText="1"/>
    </xf>
    <xf numFmtId="0" fontId="0" fillId="0" borderId="40" xfId="0" applyBorder="1" applyAlignment="1">
      <alignment horizontal="left" vertical="center" wrapText="1"/>
    </xf>
    <xf numFmtId="0" fontId="0" fillId="0" borderId="36" xfId="0" applyBorder="1" applyAlignment="1">
      <alignment horizontal="center"/>
    </xf>
    <xf numFmtId="0" fontId="0" fillId="0" borderId="22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3" borderId="17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2" borderId="41" xfId="0" applyFill="1" applyBorder="1" applyAlignment="1">
      <alignment horizontal="center" vertical="center" wrapText="1"/>
    </xf>
    <xf numFmtId="0" fontId="0" fillId="3" borderId="31" xfId="0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164" fontId="0" fillId="6" borderId="39" xfId="0" applyNumberFormat="1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8" xfId="1" applyNumberFormat="1" applyFont="1" applyBorder="1" applyAlignment="1">
      <alignment horizontal="center" vertical="center"/>
    </xf>
    <xf numFmtId="164" fontId="0" fillId="5" borderId="37" xfId="1" applyNumberFormat="1" applyFont="1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64" fontId="0" fillId="5" borderId="20" xfId="1" applyNumberFormat="1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colors>
    <mruColors>
      <color rgb="FF1D1D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088C-C8F6-4A39-A80D-2C4B407A398C}">
  <dimension ref="A1:L20"/>
  <sheetViews>
    <sheetView zoomScale="117" zoomScaleNormal="117" workbookViewId="0"/>
  </sheetViews>
  <sheetFormatPr baseColWidth="10" defaultColWidth="8.88671875" defaultRowHeight="14.4" x14ac:dyDescent="0.3"/>
  <cols>
    <col min="2" max="2" width="14.88671875" customWidth="1"/>
    <col min="3" max="4" width="21.21875" customWidth="1"/>
    <col min="5" max="5" width="9" customWidth="1"/>
    <col min="6" max="6" width="21.109375" customWidth="1"/>
    <col min="7" max="7" width="7.6640625" customWidth="1"/>
    <col min="8" max="8" width="11.88671875" customWidth="1"/>
    <col min="9" max="9" width="9.44140625" customWidth="1"/>
    <col min="10" max="10" width="8.6640625" customWidth="1"/>
    <col min="11" max="11" width="10.88671875" customWidth="1"/>
    <col min="12" max="12" width="49" customWidth="1"/>
  </cols>
  <sheetData>
    <row r="1" spans="1:12" ht="16.8" customHeight="1" thickBot="1" x14ac:dyDescent="0.35">
      <c r="A1" s="5" t="s">
        <v>31</v>
      </c>
      <c r="B1" s="7"/>
      <c r="C1" s="8"/>
      <c r="D1" s="8"/>
      <c r="E1" s="5" t="s">
        <v>0</v>
      </c>
      <c r="F1" s="5" t="s">
        <v>1</v>
      </c>
      <c r="G1" s="5" t="s">
        <v>3</v>
      </c>
      <c r="H1" s="5" t="s">
        <v>2</v>
      </c>
      <c r="I1" s="5" t="s">
        <v>4</v>
      </c>
      <c r="J1" s="5" t="s">
        <v>5</v>
      </c>
      <c r="K1" s="6" t="s">
        <v>7</v>
      </c>
      <c r="L1" s="9" t="s">
        <v>17</v>
      </c>
    </row>
    <row r="2" spans="1:12" ht="14.4" customHeight="1" x14ac:dyDescent="0.3">
      <c r="A2" s="47" t="s">
        <v>14</v>
      </c>
      <c r="B2" s="52" t="s">
        <v>8</v>
      </c>
      <c r="C2" s="56" t="s">
        <v>9</v>
      </c>
      <c r="D2" s="15" t="s">
        <v>10</v>
      </c>
      <c r="E2" s="3"/>
      <c r="F2" s="3"/>
      <c r="G2" s="3"/>
      <c r="H2" s="3"/>
      <c r="I2" s="3"/>
      <c r="J2" s="3"/>
      <c r="K2" s="11"/>
      <c r="L2" s="12"/>
    </row>
    <row r="3" spans="1:12" ht="16.2" customHeight="1" x14ac:dyDescent="0.3">
      <c r="A3" s="48"/>
      <c r="B3" s="53"/>
      <c r="C3" s="57"/>
      <c r="D3" s="21" t="s">
        <v>11</v>
      </c>
      <c r="E3" s="19"/>
      <c r="F3" s="19"/>
      <c r="G3" s="19"/>
      <c r="H3" s="19"/>
      <c r="I3" s="19"/>
      <c r="J3" s="19"/>
      <c r="K3" s="20"/>
      <c r="L3" s="14" t="s">
        <v>18</v>
      </c>
    </row>
    <row r="4" spans="1:12" ht="15" thickBot="1" x14ac:dyDescent="0.35">
      <c r="A4" s="48"/>
      <c r="B4" s="54"/>
      <c r="C4" s="60" t="s">
        <v>6</v>
      </c>
      <c r="D4" s="61"/>
      <c r="E4" s="23"/>
      <c r="F4" s="23"/>
      <c r="G4" s="23"/>
      <c r="H4" s="23"/>
      <c r="I4" s="23"/>
      <c r="J4" s="23"/>
      <c r="K4" s="24"/>
      <c r="L4" s="25"/>
    </row>
    <row r="5" spans="1:12" x14ac:dyDescent="0.3">
      <c r="A5" s="49"/>
      <c r="B5" s="52" t="s">
        <v>9</v>
      </c>
      <c r="C5" s="58" t="s">
        <v>19</v>
      </c>
      <c r="D5" s="59"/>
      <c r="E5" s="3"/>
      <c r="F5" s="3"/>
      <c r="G5" s="3"/>
      <c r="H5" s="3"/>
      <c r="I5" s="3"/>
      <c r="J5" s="3"/>
      <c r="K5" s="11"/>
      <c r="L5" s="12"/>
    </row>
    <row r="6" spans="1:12" ht="15.6" customHeight="1" x14ac:dyDescent="0.3">
      <c r="A6" s="49"/>
      <c r="B6" s="54"/>
      <c r="C6" s="60" t="s">
        <v>20</v>
      </c>
      <c r="D6" s="61"/>
      <c r="E6" s="23"/>
      <c r="F6" s="23"/>
      <c r="G6" s="23"/>
      <c r="H6" s="23"/>
      <c r="I6" s="23"/>
      <c r="J6" s="23"/>
      <c r="K6" s="24"/>
      <c r="L6" s="25" t="s">
        <v>18</v>
      </c>
    </row>
    <row r="7" spans="1:12" ht="15" thickBot="1" x14ac:dyDescent="0.35">
      <c r="A7" s="49"/>
      <c r="B7" s="29" t="s">
        <v>12</v>
      </c>
      <c r="C7" s="62" t="s">
        <v>13</v>
      </c>
      <c r="D7" s="62"/>
      <c r="E7" s="23"/>
      <c r="F7" s="23"/>
      <c r="G7" s="23"/>
      <c r="H7" s="23"/>
      <c r="I7" s="23"/>
      <c r="J7" s="23"/>
      <c r="K7" s="23"/>
      <c r="L7" s="25"/>
    </row>
    <row r="8" spans="1:12" ht="14.4" customHeight="1" thickBot="1" x14ac:dyDescent="0.35">
      <c r="A8" s="47" t="s">
        <v>15</v>
      </c>
      <c r="B8" s="52" t="s">
        <v>8</v>
      </c>
      <c r="C8" s="58" t="s">
        <v>9</v>
      </c>
      <c r="D8" s="59"/>
      <c r="E8" s="3"/>
      <c r="F8" s="3"/>
      <c r="G8" s="3"/>
      <c r="H8" s="3"/>
      <c r="I8" s="8"/>
      <c r="J8" s="8"/>
      <c r="K8" s="3"/>
      <c r="L8" s="17"/>
    </row>
    <row r="9" spans="1:12" ht="15" thickBot="1" x14ac:dyDescent="0.35">
      <c r="A9" s="48"/>
      <c r="B9" s="55"/>
      <c r="C9" s="64" t="s">
        <v>6</v>
      </c>
      <c r="D9" s="65"/>
      <c r="E9" s="4"/>
      <c r="F9" s="4"/>
      <c r="G9" s="4"/>
      <c r="H9" s="4"/>
      <c r="I9" s="2"/>
      <c r="J9" s="2"/>
      <c r="K9" s="4"/>
      <c r="L9" s="18"/>
    </row>
    <row r="10" spans="1:12" ht="15" thickBot="1" x14ac:dyDescent="0.35">
      <c r="A10" s="49"/>
      <c r="B10" s="51" t="s">
        <v>9</v>
      </c>
      <c r="C10" s="66" t="s">
        <v>19</v>
      </c>
      <c r="D10" s="67"/>
      <c r="E10" s="10"/>
      <c r="F10" s="10"/>
      <c r="G10" s="10"/>
      <c r="H10" s="10"/>
      <c r="I10" s="16"/>
      <c r="J10" s="16"/>
      <c r="K10" s="10"/>
      <c r="L10" s="22"/>
    </row>
    <row r="11" spans="1:12" x14ac:dyDescent="0.3">
      <c r="A11" s="49"/>
      <c r="B11" s="51"/>
      <c r="C11" s="60" t="s">
        <v>20</v>
      </c>
      <c r="D11" s="61"/>
      <c r="E11" s="23"/>
      <c r="F11" s="23"/>
      <c r="G11" s="23"/>
      <c r="H11" s="23"/>
      <c r="I11" s="8"/>
      <c r="J11" s="8"/>
      <c r="K11" s="1"/>
      <c r="L11" s="28"/>
    </row>
    <row r="12" spans="1:12" ht="15" thickBot="1" x14ac:dyDescent="0.35">
      <c r="A12" s="50"/>
      <c r="B12" s="26" t="s">
        <v>12</v>
      </c>
      <c r="C12" s="63" t="s">
        <v>13</v>
      </c>
      <c r="D12" s="63"/>
      <c r="E12" s="4"/>
      <c r="F12" s="4"/>
      <c r="G12" s="4"/>
      <c r="H12" s="4"/>
      <c r="I12" s="27"/>
      <c r="J12" s="27"/>
      <c r="K12" s="4"/>
      <c r="L12" s="13"/>
    </row>
    <row r="20" spans="9:9" x14ac:dyDescent="0.3">
      <c r="I20" t="s">
        <v>16</v>
      </c>
    </row>
  </sheetData>
  <mergeCells count="16">
    <mergeCell ref="C2:C3"/>
    <mergeCell ref="C5:D5"/>
    <mergeCell ref="C6:D6"/>
    <mergeCell ref="C7:D7"/>
    <mergeCell ref="C12:D12"/>
    <mergeCell ref="C4:D4"/>
    <mergeCell ref="C9:D9"/>
    <mergeCell ref="C10:D10"/>
    <mergeCell ref="C11:D11"/>
    <mergeCell ref="C8:D8"/>
    <mergeCell ref="A8:A12"/>
    <mergeCell ref="B10:B11"/>
    <mergeCell ref="B2:B4"/>
    <mergeCell ref="B8:B9"/>
    <mergeCell ref="B5:B6"/>
    <mergeCell ref="A2: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7E479-FCC6-41A4-9635-F68F91E439DC}">
  <dimension ref="A1:M19"/>
  <sheetViews>
    <sheetView topLeftCell="D1" zoomScale="117" zoomScaleNormal="117" workbookViewId="0">
      <selection activeCell="M12" sqref="M12"/>
    </sheetView>
  </sheetViews>
  <sheetFormatPr baseColWidth="10" defaultColWidth="8.88671875" defaultRowHeight="14.4" x14ac:dyDescent="0.3"/>
  <cols>
    <col min="1" max="1" width="8.6640625" customWidth="1"/>
    <col min="2" max="2" width="12.109375" customWidth="1"/>
    <col min="3" max="3" width="28.6640625" customWidth="1"/>
    <col min="4" max="4" width="9" customWidth="1"/>
    <col min="5" max="5" width="28.109375" customWidth="1"/>
    <col min="6" max="6" width="14.77734375" customWidth="1"/>
    <col min="7" max="7" width="6.44140625" customWidth="1"/>
    <col min="8" max="8" width="7.6640625" customWidth="1"/>
    <col min="9" max="9" width="9.6640625" customWidth="1"/>
    <col min="10" max="10" width="7.77734375" customWidth="1"/>
    <col min="11" max="11" width="6.5546875" customWidth="1"/>
    <col min="12" max="12" width="9.44140625" customWidth="1"/>
    <col min="13" max="13" width="62.109375" customWidth="1"/>
  </cols>
  <sheetData>
    <row r="1" spans="1:13" ht="16.8" customHeight="1" thickBot="1" x14ac:dyDescent="0.35">
      <c r="A1" s="5" t="s">
        <v>31</v>
      </c>
      <c r="B1" s="8"/>
      <c r="C1" s="8"/>
      <c r="D1" s="5" t="s">
        <v>0</v>
      </c>
      <c r="E1" s="5" t="s">
        <v>46</v>
      </c>
      <c r="F1" s="5" t="s">
        <v>47</v>
      </c>
      <c r="G1" s="5" t="s">
        <v>3</v>
      </c>
      <c r="H1" s="5" t="s">
        <v>26</v>
      </c>
      <c r="I1" s="5" t="s">
        <v>2</v>
      </c>
      <c r="J1" s="5" t="s">
        <v>4</v>
      </c>
      <c r="K1" s="5" t="s">
        <v>5</v>
      </c>
      <c r="L1" s="6" t="s">
        <v>7</v>
      </c>
      <c r="M1" s="9" t="s">
        <v>17</v>
      </c>
    </row>
    <row r="2" spans="1:13" ht="16.2" customHeight="1" x14ac:dyDescent="0.3">
      <c r="A2" s="47" t="s">
        <v>21</v>
      </c>
      <c r="B2" s="73" t="s">
        <v>32</v>
      </c>
      <c r="C2" s="30" t="s">
        <v>27</v>
      </c>
      <c r="D2" s="3"/>
      <c r="E2" s="3"/>
      <c r="F2" s="3"/>
      <c r="G2" s="3"/>
      <c r="H2" s="3"/>
      <c r="I2" s="3"/>
      <c r="J2" s="3"/>
      <c r="K2" s="3"/>
      <c r="L2" s="11"/>
      <c r="M2" s="12" t="s">
        <v>24</v>
      </c>
    </row>
    <row r="3" spans="1:13" ht="33" customHeight="1" thickBot="1" x14ac:dyDescent="0.35">
      <c r="A3" s="48"/>
      <c r="B3" s="74"/>
      <c r="C3" s="32"/>
      <c r="D3" s="45"/>
      <c r="E3" s="45"/>
      <c r="F3" s="45"/>
      <c r="G3" s="45"/>
      <c r="H3" s="45"/>
      <c r="I3" s="45"/>
      <c r="J3" s="45"/>
      <c r="K3" s="45"/>
      <c r="L3" s="45"/>
      <c r="M3" s="31" t="s">
        <v>30</v>
      </c>
    </row>
    <row r="4" spans="1:13" ht="16.2" customHeight="1" x14ac:dyDescent="0.3">
      <c r="A4" s="49"/>
      <c r="B4" s="73" t="s">
        <v>33</v>
      </c>
      <c r="C4" s="30" t="s">
        <v>27</v>
      </c>
      <c r="D4" s="3"/>
      <c r="E4" s="3"/>
      <c r="F4" s="3"/>
      <c r="G4" s="3"/>
      <c r="H4" s="3"/>
      <c r="I4" s="3"/>
      <c r="J4" s="3"/>
      <c r="K4" s="3"/>
      <c r="L4" s="11"/>
      <c r="M4" s="12" t="s">
        <v>24</v>
      </c>
    </row>
    <row r="5" spans="1:13" ht="16.2" customHeight="1" x14ac:dyDescent="0.3">
      <c r="A5" s="49"/>
      <c r="B5" s="74"/>
      <c r="C5" s="15" t="s">
        <v>23</v>
      </c>
      <c r="D5" s="19"/>
      <c r="E5" s="19"/>
      <c r="F5" s="19"/>
      <c r="G5" s="19"/>
      <c r="H5" s="19"/>
      <c r="I5" s="19"/>
      <c r="J5" s="19"/>
      <c r="K5" s="19"/>
      <c r="L5" s="20"/>
      <c r="M5" s="14" t="s">
        <v>25</v>
      </c>
    </row>
    <row r="6" spans="1:13" ht="17.399999999999999" customHeight="1" thickBot="1" x14ac:dyDescent="0.35">
      <c r="A6" s="49"/>
      <c r="B6" s="77"/>
      <c r="C6" s="32" t="s">
        <v>28</v>
      </c>
      <c r="D6" s="23"/>
      <c r="E6" s="23"/>
      <c r="F6" s="23"/>
      <c r="G6" s="23"/>
      <c r="H6" s="23"/>
      <c r="I6" s="23"/>
      <c r="J6" s="23"/>
      <c r="K6" s="23"/>
      <c r="L6" s="24"/>
      <c r="M6" s="31" t="s">
        <v>29</v>
      </c>
    </row>
    <row r="7" spans="1:13" ht="16.2" customHeight="1" thickBot="1" x14ac:dyDescent="0.35">
      <c r="A7" s="47" t="s">
        <v>22</v>
      </c>
      <c r="B7" s="73" t="s">
        <v>32</v>
      </c>
      <c r="C7" s="30" t="s">
        <v>27</v>
      </c>
      <c r="D7" s="3"/>
      <c r="E7" s="3"/>
      <c r="F7" s="3"/>
      <c r="G7" s="3"/>
      <c r="H7" s="3"/>
      <c r="I7" s="3"/>
      <c r="J7" s="3"/>
      <c r="K7" s="8"/>
      <c r="L7" s="8"/>
      <c r="M7" s="12" t="s">
        <v>24</v>
      </c>
    </row>
    <row r="8" spans="1:13" ht="31.8" customHeight="1" thickBot="1" x14ac:dyDescent="0.35">
      <c r="A8" s="48"/>
      <c r="B8" s="74"/>
      <c r="C8" s="62" t="s">
        <v>23</v>
      </c>
      <c r="D8" s="70"/>
      <c r="E8" s="70"/>
      <c r="F8" s="70"/>
      <c r="G8" s="70"/>
      <c r="H8" s="70"/>
      <c r="I8" s="70"/>
      <c r="J8" s="70"/>
      <c r="K8" s="8"/>
      <c r="L8" s="8"/>
      <c r="M8" s="43" t="s">
        <v>48</v>
      </c>
    </row>
    <row r="9" spans="1:13" ht="30" customHeight="1" thickBot="1" x14ac:dyDescent="0.35">
      <c r="A9" s="48"/>
      <c r="B9" s="74"/>
      <c r="C9" s="68"/>
      <c r="D9" s="71"/>
      <c r="E9" s="71"/>
      <c r="F9" s="71"/>
      <c r="G9" s="71"/>
      <c r="H9" s="71"/>
      <c r="I9" s="71"/>
      <c r="J9" s="71"/>
      <c r="K9" s="8"/>
      <c r="L9" s="8"/>
      <c r="M9" s="43" t="s">
        <v>49</v>
      </c>
    </row>
    <row r="10" spans="1:13" ht="27" customHeight="1" thickBot="1" x14ac:dyDescent="0.35">
      <c r="A10" s="48"/>
      <c r="B10" s="74"/>
      <c r="C10" s="68"/>
      <c r="D10" s="71"/>
      <c r="E10" s="71"/>
      <c r="F10" s="71"/>
      <c r="G10" s="71"/>
      <c r="H10" s="71"/>
      <c r="I10" s="71"/>
      <c r="J10" s="71"/>
      <c r="K10" s="8"/>
      <c r="L10" s="8"/>
      <c r="M10" s="44" t="s">
        <v>50</v>
      </c>
    </row>
    <row r="11" spans="1:13" ht="28.2" customHeight="1" thickBot="1" x14ac:dyDescent="0.35">
      <c r="A11" s="48"/>
      <c r="B11" s="74"/>
      <c r="C11" s="69"/>
      <c r="D11" s="72"/>
      <c r="E11" s="72"/>
      <c r="F11" s="72"/>
      <c r="G11" s="72"/>
      <c r="H11" s="72"/>
      <c r="I11" s="72"/>
      <c r="J11" s="72"/>
      <c r="K11" s="8"/>
      <c r="L11" s="8"/>
      <c r="M11" s="31" t="s">
        <v>30</v>
      </c>
    </row>
    <row r="12" spans="1:13" ht="15" thickBot="1" x14ac:dyDescent="0.35">
      <c r="A12" s="48"/>
      <c r="B12" s="73" t="s">
        <v>33</v>
      </c>
      <c r="C12" s="30" t="s">
        <v>27</v>
      </c>
      <c r="D12" s="3"/>
      <c r="E12" s="3"/>
      <c r="F12" s="3"/>
      <c r="G12" s="3"/>
      <c r="H12" s="3"/>
      <c r="I12" s="3"/>
      <c r="J12" s="3"/>
      <c r="K12" s="8"/>
      <c r="L12" s="8"/>
      <c r="M12" s="12" t="s">
        <v>24</v>
      </c>
    </row>
    <row r="13" spans="1:13" ht="15" thickBot="1" x14ac:dyDescent="0.35">
      <c r="A13" s="48"/>
      <c r="B13" s="74"/>
      <c r="C13" s="15" t="s">
        <v>23</v>
      </c>
      <c r="D13" s="19"/>
      <c r="E13" s="19"/>
      <c r="F13" s="19"/>
      <c r="G13" s="19"/>
      <c r="H13" s="19"/>
      <c r="I13" s="19"/>
      <c r="J13" s="19"/>
      <c r="K13" s="8"/>
      <c r="L13" s="8"/>
      <c r="M13" s="14" t="s">
        <v>25</v>
      </c>
    </row>
    <row r="14" spans="1:13" ht="15" thickBot="1" x14ac:dyDescent="0.35">
      <c r="A14" s="76"/>
      <c r="B14" s="75"/>
      <c r="C14" s="32" t="s">
        <v>28</v>
      </c>
      <c r="D14" s="4"/>
      <c r="E14" s="4"/>
      <c r="F14" s="4"/>
      <c r="G14" s="4"/>
      <c r="H14" s="4"/>
      <c r="I14" s="4"/>
      <c r="J14" s="4"/>
      <c r="K14" s="8"/>
      <c r="L14" s="8"/>
      <c r="M14" s="46" t="s">
        <v>29</v>
      </c>
    </row>
    <row r="19" spans="10:10" x14ac:dyDescent="0.3">
      <c r="J19" t="s">
        <v>16</v>
      </c>
    </row>
  </sheetData>
  <mergeCells count="14">
    <mergeCell ref="A7:A14"/>
    <mergeCell ref="A2:A6"/>
    <mergeCell ref="B2:B3"/>
    <mergeCell ref="B4:B6"/>
    <mergeCell ref="H8:H11"/>
    <mergeCell ref="I8:I11"/>
    <mergeCell ref="J8:J11"/>
    <mergeCell ref="B7:B11"/>
    <mergeCell ref="B12:B14"/>
    <mergeCell ref="C8:C11"/>
    <mergeCell ref="D8:D11"/>
    <mergeCell ref="E8:E11"/>
    <mergeCell ref="F8:F11"/>
    <mergeCell ref="G8:G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39087-6ADA-41FB-9209-92C1481428F9}">
  <dimension ref="A1:M11"/>
  <sheetViews>
    <sheetView workbookViewId="0">
      <selection activeCell="P4" sqref="P4"/>
    </sheetView>
  </sheetViews>
  <sheetFormatPr baseColWidth="10" defaultRowHeight="14.4" x14ac:dyDescent="0.3"/>
  <cols>
    <col min="1" max="6" width="7.33203125" customWidth="1"/>
    <col min="7" max="7" width="13.44140625" customWidth="1"/>
    <col min="8" max="8" width="12.88671875" customWidth="1"/>
    <col min="9" max="9" width="15.6640625" customWidth="1"/>
    <col min="10" max="10" width="18.21875" customWidth="1"/>
  </cols>
  <sheetData>
    <row r="1" spans="1:13" ht="18.600000000000001" customHeight="1" x14ac:dyDescent="0.3">
      <c r="A1" s="1" t="s">
        <v>40</v>
      </c>
      <c r="B1" s="1" t="s">
        <v>45</v>
      </c>
      <c r="C1" s="1" t="s">
        <v>41</v>
      </c>
      <c r="D1" s="1" t="s">
        <v>42</v>
      </c>
      <c r="E1" s="1" t="s">
        <v>43</v>
      </c>
      <c r="F1" s="1" t="s">
        <v>44</v>
      </c>
      <c r="G1" s="38" t="s">
        <v>34</v>
      </c>
      <c r="H1" s="41" t="s">
        <v>35</v>
      </c>
      <c r="I1" s="33" t="s">
        <v>36</v>
      </c>
      <c r="J1" s="78" t="s">
        <v>51</v>
      </c>
      <c r="K1" s="78"/>
      <c r="L1" s="79"/>
      <c r="M1" s="39" t="s">
        <v>37</v>
      </c>
    </row>
    <row r="2" spans="1:13" x14ac:dyDescent="0.3">
      <c r="A2" s="83">
        <v>1</v>
      </c>
      <c r="B2" s="70"/>
      <c r="C2" s="70"/>
      <c r="D2" s="70"/>
      <c r="E2" s="70"/>
      <c r="F2" s="70"/>
      <c r="G2" s="84">
        <v>75000</v>
      </c>
      <c r="H2" s="85">
        <f>+G2*50%</f>
        <v>37500</v>
      </c>
      <c r="I2" s="86">
        <f>+G2-H2</f>
        <v>37500</v>
      </c>
      <c r="J2" s="40" t="s">
        <v>38</v>
      </c>
      <c r="K2" s="34">
        <v>0.18</v>
      </c>
      <c r="L2" s="36">
        <f>+I2*K2</f>
        <v>6750</v>
      </c>
      <c r="M2" s="80">
        <f>+L2+L3</f>
        <v>6750</v>
      </c>
    </row>
    <row r="3" spans="1:13" x14ac:dyDescent="0.3">
      <c r="A3" s="83"/>
      <c r="B3" s="82"/>
      <c r="C3" s="82"/>
      <c r="D3" s="82"/>
      <c r="E3" s="82"/>
      <c r="F3" s="82"/>
      <c r="G3" s="84"/>
      <c r="H3" s="85"/>
      <c r="I3" s="87"/>
      <c r="J3" s="40" t="s">
        <v>39</v>
      </c>
      <c r="K3" s="34">
        <v>0.25</v>
      </c>
      <c r="L3" s="36">
        <v>0</v>
      </c>
      <c r="M3" s="81"/>
    </row>
    <row r="4" spans="1:13" x14ac:dyDescent="0.3">
      <c r="A4" s="83">
        <v>2</v>
      </c>
      <c r="B4" s="70"/>
      <c r="C4" s="70"/>
      <c r="D4" s="70"/>
      <c r="E4" s="70"/>
      <c r="F4" s="70"/>
      <c r="G4" s="84">
        <v>200000</v>
      </c>
      <c r="H4" s="85">
        <f t="shared" ref="H4" si="0">+G4*50%</f>
        <v>100000</v>
      </c>
      <c r="I4" s="86">
        <f t="shared" ref="I4" si="1">+G4-H4</f>
        <v>100000</v>
      </c>
      <c r="J4" s="40" t="s">
        <v>38</v>
      </c>
      <c r="K4" s="34">
        <v>0.18</v>
      </c>
      <c r="L4" s="36">
        <f>+I4*K4</f>
        <v>18000</v>
      </c>
      <c r="M4" s="80">
        <f t="shared" ref="M4" si="2">+L4+L5</f>
        <v>18000</v>
      </c>
    </row>
    <row r="5" spans="1:13" x14ac:dyDescent="0.3">
      <c r="A5" s="83"/>
      <c r="B5" s="82"/>
      <c r="C5" s="82"/>
      <c r="D5" s="82"/>
      <c r="E5" s="82"/>
      <c r="F5" s="82"/>
      <c r="G5" s="84"/>
      <c r="H5" s="85"/>
      <c r="I5" s="87"/>
      <c r="J5" s="40" t="s">
        <v>39</v>
      </c>
      <c r="K5" s="34">
        <v>0.25</v>
      </c>
      <c r="L5" s="36">
        <f t="shared" ref="L5" si="3">(I4-100000)*K5</f>
        <v>0</v>
      </c>
      <c r="M5" s="81"/>
    </row>
    <row r="6" spans="1:13" x14ac:dyDescent="0.3">
      <c r="A6" s="83">
        <v>3</v>
      </c>
      <c r="B6" s="70"/>
      <c r="C6" s="70"/>
      <c r="D6" s="70"/>
      <c r="E6" s="70"/>
      <c r="F6" s="70"/>
      <c r="G6" s="84">
        <v>300000</v>
      </c>
      <c r="H6" s="85">
        <f t="shared" ref="H6:H10" si="4">+G6*50%</f>
        <v>150000</v>
      </c>
      <c r="I6" s="86">
        <f t="shared" ref="I6" si="5">+G6-H6</f>
        <v>150000</v>
      </c>
      <c r="J6" s="40" t="s">
        <v>38</v>
      </c>
      <c r="K6" s="34">
        <v>0.18</v>
      </c>
      <c r="L6" s="36">
        <f t="shared" ref="L6" si="6">(+I6-50000)*K6</f>
        <v>18000</v>
      </c>
      <c r="M6" s="80">
        <f t="shared" ref="M6:M10" si="7">+L6+L7</f>
        <v>30500</v>
      </c>
    </row>
    <row r="7" spans="1:13" x14ac:dyDescent="0.3">
      <c r="A7" s="83"/>
      <c r="B7" s="82"/>
      <c r="C7" s="82"/>
      <c r="D7" s="82"/>
      <c r="E7" s="82"/>
      <c r="F7" s="82"/>
      <c r="G7" s="84"/>
      <c r="H7" s="85"/>
      <c r="I7" s="87"/>
      <c r="J7" s="40" t="s">
        <v>39</v>
      </c>
      <c r="K7" s="34">
        <v>0.25</v>
      </c>
      <c r="L7" s="36">
        <f t="shared" ref="L7" si="8">(I6-100000)*K7</f>
        <v>12500</v>
      </c>
      <c r="M7" s="81"/>
    </row>
    <row r="8" spans="1:13" x14ac:dyDescent="0.3">
      <c r="A8" s="83">
        <v>4</v>
      </c>
      <c r="B8" s="70"/>
      <c r="C8" s="70"/>
      <c r="D8" s="70"/>
      <c r="E8" s="70"/>
      <c r="F8" s="70"/>
      <c r="G8" s="84">
        <v>400000</v>
      </c>
      <c r="H8" s="85">
        <f t="shared" si="4"/>
        <v>200000</v>
      </c>
      <c r="I8" s="86">
        <f t="shared" ref="I8" si="9">+G8-H8</f>
        <v>200000</v>
      </c>
      <c r="J8" s="40" t="s">
        <v>38</v>
      </c>
      <c r="K8" s="34">
        <v>0.18</v>
      </c>
      <c r="L8" s="36">
        <f>(+I8-100000)*K8</f>
        <v>18000</v>
      </c>
      <c r="M8" s="80">
        <f t="shared" si="7"/>
        <v>43000</v>
      </c>
    </row>
    <row r="9" spans="1:13" x14ac:dyDescent="0.3">
      <c r="A9" s="83"/>
      <c r="B9" s="82"/>
      <c r="C9" s="82"/>
      <c r="D9" s="82"/>
      <c r="E9" s="82"/>
      <c r="F9" s="82"/>
      <c r="G9" s="84"/>
      <c r="H9" s="85"/>
      <c r="I9" s="87"/>
      <c r="J9" s="40" t="s">
        <v>39</v>
      </c>
      <c r="K9" s="34">
        <v>0.25</v>
      </c>
      <c r="L9" s="36">
        <f t="shared" ref="L9" si="10">(I8-100000)*K9</f>
        <v>25000</v>
      </c>
      <c r="M9" s="81"/>
    </row>
    <row r="10" spans="1:13" x14ac:dyDescent="0.3">
      <c r="A10" s="83">
        <v>5</v>
      </c>
      <c r="B10" s="70"/>
      <c r="C10" s="70"/>
      <c r="D10" s="70"/>
      <c r="E10" s="70"/>
      <c r="F10" s="70"/>
      <c r="G10" s="84">
        <v>500000</v>
      </c>
      <c r="H10" s="85">
        <f t="shared" si="4"/>
        <v>250000</v>
      </c>
      <c r="I10" s="86">
        <f t="shared" ref="I10" si="11">+G10-H10</f>
        <v>250000</v>
      </c>
      <c r="J10" s="40" t="s">
        <v>38</v>
      </c>
      <c r="K10" s="34">
        <v>0.18</v>
      </c>
      <c r="L10" s="36">
        <f>(+I10-150000)*K10</f>
        <v>18000</v>
      </c>
      <c r="M10" s="80">
        <f t="shared" si="7"/>
        <v>55500</v>
      </c>
    </row>
    <row r="11" spans="1:13" ht="15" thickBot="1" x14ac:dyDescent="0.35">
      <c r="A11" s="83"/>
      <c r="B11" s="82"/>
      <c r="C11" s="82"/>
      <c r="D11" s="82"/>
      <c r="E11" s="82"/>
      <c r="F11" s="82"/>
      <c r="G11" s="84"/>
      <c r="H11" s="88"/>
      <c r="I11" s="89"/>
      <c r="J11" s="42" t="s">
        <v>39</v>
      </c>
      <c r="K11" s="35">
        <v>0.25</v>
      </c>
      <c r="L11" s="37">
        <f t="shared" ref="L11" si="12">(I10-100000)*K11</f>
        <v>37500</v>
      </c>
      <c r="M11" s="81"/>
    </row>
  </sheetData>
  <mergeCells count="51">
    <mergeCell ref="G10:G11"/>
    <mergeCell ref="H10:H11"/>
    <mergeCell ref="I10:I11"/>
    <mergeCell ref="M10:M11"/>
    <mergeCell ref="G8:G9"/>
    <mergeCell ref="H8:H9"/>
    <mergeCell ref="I8:I9"/>
    <mergeCell ref="M8:M9"/>
    <mergeCell ref="F10:F11"/>
    <mergeCell ref="A8:A9"/>
    <mergeCell ref="B8:B9"/>
    <mergeCell ref="C8:C9"/>
    <mergeCell ref="D8:D9"/>
    <mergeCell ref="E8:E9"/>
    <mergeCell ref="F8:F9"/>
    <mergeCell ref="A10:A11"/>
    <mergeCell ref="B10:B11"/>
    <mergeCell ref="C10:C11"/>
    <mergeCell ref="D10:D11"/>
    <mergeCell ref="E10:E11"/>
    <mergeCell ref="A6:A7"/>
    <mergeCell ref="G6:G7"/>
    <mergeCell ref="H6:H7"/>
    <mergeCell ref="I6:I7"/>
    <mergeCell ref="M6:M7"/>
    <mergeCell ref="B6:B7"/>
    <mergeCell ref="C6:C7"/>
    <mergeCell ref="D6:D7"/>
    <mergeCell ref="E6:E7"/>
    <mergeCell ref="F6:F7"/>
    <mergeCell ref="A2:A3"/>
    <mergeCell ref="A4:A5"/>
    <mergeCell ref="G4:G5"/>
    <mergeCell ref="H4:H5"/>
    <mergeCell ref="I4:I5"/>
    <mergeCell ref="G2:G3"/>
    <mergeCell ref="H2:H3"/>
    <mergeCell ref="I2:I3"/>
    <mergeCell ref="B2:B3"/>
    <mergeCell ref="C2:C3"/>
    <mergeCell ref="D2:D3"/>
    <mergeCell ref="E2:E3"/>
    <mergeCell ref="F2:F3"/>
    <mergeCell ref="F4:F5"/>
    <mergeCell ref="J1:L1"/>
    <mergeCell ref="M2:M3"/>
    <mergeCell ref="M4:M5"/>
    <mergeCell ref="B4:B5"/>
    <mergeCell ref="C4:C5"/>
    <mergeCell ref="D4:D5"/>
    <mergeCell ref="E4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3DDB9-B03B-4E48-8268-A5E8BDD1527B}">
  <dimension ref="A3:L3"/>
  <sheetViews>
    <sheetView tabSelected="1" workbookViewId="0">
      <selection activeCell="A3" sqref="A3:L3"/>
    </sheetView>
  </sheetViews>
  <sheetFormatPr baseColWidth="10" defaultColWidth="8.88671875" defaultRowHeight="14.4" x14ac:dyDescent="0.3"/>
  <cols>
    <col min="10" max="10" width="14.5546875" customWidth="1"/>
  </cols>
  <sheetData>
    <row r="3" spans="1:12" ht="30.6" customHeight="1" x14ac:dyDescent="0.3">
      <c r="A3" s="90" t="s">
        <v>52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</sheetData>
  <mergeCells count="1">
    <mergeCell ref="A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Achats</vt:lpstr>
      <vt:lpstr>Prestation et service</vt:lpstr>
      <vt:lpstr>Loyer</vt:lpstr>
      <vt:lpstr>Personnel et stagiaire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2026-04-04T14:20:13Z</dcterms:created>
  <dcterms:modified xsi:type="dcterms:W3CDTF">2026-04-15T16:24:15Z</dcterms:modified>
</cp:coreProperties>
</file>